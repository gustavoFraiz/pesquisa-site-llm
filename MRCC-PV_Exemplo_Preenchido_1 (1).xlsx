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45DB7321-438C-4DD1-A364-24CFEB28EBF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ções" sheetId="1" r:id="rId1"/>
    <sheet name="Legenda" sheetId="2" r:id="rId2"/>
    <sheet name="M1 - Diagnóstico" sheetId="3" r:id="rId3"/>
    <sheet name="M2 - Competências" sheetId="4" r:id="rId4"/>
    <sheet name="M3 - Lacunas" sheetId="5" r:id="rId5"/>
    <sheet name="Catálogo de Ações" sheetId="6" r:id="rId6"/>
    <sheet name="M4 - Trilha" sheetId="7" r:id="rId7"/>
    <sheet name="Salvaguarda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7" l="1"/>
  <c r="D3" i="7"/>
  <c r="D2" i="7"/>
  <c r="D5" i="5"/>
  <c r="F5" i="5" s="1"/>
  <c r="C5" i="5"/>
  <c r="E5" i="5" s="1"/>
  <c r="B5" i="5"/>
  <c r="A5" i="5"/>
  <c r="D4" i="5"/>
  <c r="F4" i="5" s="1"/>
  <c r="C4" i="5"/>
  <c r="E4" i="5" s="1"/>
  <c r="B4" i="5"/>
  <c r="A4" i="5"/>
  <c r="D3" i="5"/>
  <c r="F3" i="5" s="1"/>
  <c r="C3" i="5"/>
  <c r="E3" i="5" s="1"/>
  <c r="B3" i="5"/>
  <c r="A3" i="5"/>
  <c r="D2" i="5"/>
  <c r="F2" i="5" s="1"/>
  <c r="C2" i="5"/>
  <c r="E2" i="5" s="1"/>
  <c r="B2" i="5"/>
  <c r="A2" i="5"/>
  <c r="D6" i="2"/>
  <c r="D5" i="2"/>
  <c r="D4" i="2"/>
  <c r="D3" i="2"/>
  <c r="I2" i="5" l="1"/>
  <c r="K2" i="5" s="1"/>
  <c r="H2" i="5"/>
  <c r="J2" i="5" s="1"/>
  <c r="G2" i="5"/>
  <c r="I3" i="5"/>
  <c r="K3" i="5" s="1"/>
  <c r="H3" i="5"/>
  <c r="J3" i="5" s="1"/>
  <c r="G3" i="5"/>
  <c r="I4" i="5"/>
  <c r="K4" i="5" s="1"/>
  <c r="H4" i="5"/>
  <c r="J4" i="5" s="1"/>
  <c r="G4" i="5"/>
  <c r="I5" i="5"/>
  <c r="K5" i="5" s="1"/>
  <c r="H5" i="5"/>
  <c r="J5" i="5" s="1"/>
  <c r="G5" i="5"/>
  <c r="M5" i="5" l="1"/>
  <c r="B4" i="7" s="1"/>
  <c r="L5" i="5"/>
  <c r="M4" i="5"/>
  <c r="L4" i="5"/>
  <c r="M3" i="5"/>
  <c r="B3" i="7" s="1"/>
  <c r="L3" i="5"/>
  <c r="M2" i="5"/>
  <c r="B2" i="7" s="1"/>
  <c r="L2" i="5"/>
</calcChain>
</file>

<file path=xl/sharedStrings.xml><?xml version="1.0" encoding="utf-8"?>
<sst xmlns="http://schemas.openxmlformats.org/spreadsheetml/2006/main" count="215" uniqueCount="150">
  <si>
    <t>MRCC-PV — Matriz de Redesenho de Cargos e Competências para Pequenos Varejistas</t>
  </si>
  <si>
    <t>Exemplo preenchido: loja de material de construção, função "Atendente de balcão"</t>
  </si>
  <si>
    <t>O que é esta pasta de trabalho</t>
  </si>
  <si>
    <t>Esta planilha é a instanciação do artefato MRCC-PV, definido no PBL3 e projetado no PBL4. Ela guia o gestor de um pequeno estabelecimento varejista por seis passos que terminam num plano de desenvolvimento de competências para uma função, considerando o efeito da IA sobre as tarefas dessa função.</t>
  </si>
  <si>
    <t>As abas M1 a M4 correspondem aos quatro módulos da arquitetura do artefato. A aba Salvaguarda aplica a checagem de qualidade do trabalho. A aba Catálogo de Ações e a aba Legenda dão suporte às outras abas.</t>
  </si>
  <si>
    <t>Como usar</t>
  </si>
  <si>
    <t>Passo 1</t>
  </si>
  <si>
    <t>Na aba M1, preencha a função e liste as ferramentas de IA em uso ou em consideração.</t>
  </si>
  <si>
    <t>Passo 2</t>
  </si>
  <si>
    <t>Ainda em M1, inventarie as tarefas da função com frequência e criticidade.</t>
  </si>
  <si>
    <t>Passo 3</t>
  </si>
  <si>
    <t>Classifique o efeito da IA sobre cada tarefa: A (automatizada), P (aprimorada), I (inalterada) ou N (nova).</t>
  </si>
  <si>
    <t>Passo 4</t>
  </si>
  <si>
    <t>Na aba M2, registre as competências requeridas, o eixo de cada uma e os níveis atual e alvo. A aba M3 calcula a lacuna e a prioridade automaticamente, não preencha nada nela.</t>
  </si>
  <si>
    <t>Passo 5</t>
  </si>
  <si>
    <t>Na aba M4, defina a ação de desenvolvimento para cada lacuna prioritária, escolhendo no Catálogo de Ações.</t>
  </si>
  <si>
    <t>Passo 6</t>
  </si>
  <si>
    <t>Na aba Salvaguarda, responda as âncoras de qualidade do trabalho. Toda resposta diferente de "Sim" exige um ajuste registrado antes de encerrar o ciclo.</t>
  </si>
  <si>
    <t>Cores das células</t>
  </si>
  <si>
    <t>Amarelo</t>
  </si>
  <si>
    <t>Célula de entrada, o gestor preenche.</t>
  </si>
  <si>
    <t>Branco</t>
  </si>
  <si>
    <t>Célula calculada por fórmula, não editar.</t>
  </si>
  <si>
    <t>Cinza</t>
  </si>
  <si>
    <t>Legenda ou referência, não editar.</t>
  </si>
  <si>
    <t>Tempo de referência</t>
  </si>
  <si>
    <t>O ciclo completo (passos 1 a 6) para uma função deve caber em até 90 minutos (RNF01 do PBL3).</t>
  </si>
  <si>
    <t>Escala de proficiência (N0–N3)</t>
  </si>
  <si>
    <t>Peso — Criticidade</t>
  </si>
  <si>
    <t>Peso — Frequência</t>
  </si>
  <si>
    <t>Código</t>
  </si>
  <si>
    <t>Rótulo</t>
  </si>
  <si>
    <t>Valor</t>
  </si>
  <si>
    <t>Rótulo completo (uso em dropdown)</t>
  </si>
  <si>
    <t>Nível</t>
  </si>
  <si>
    <t>Peso</t>
  </si>
  <si>
    <t>N0</t>
  </si>
  <si>
    <t>Não exposto</t>
  </si>
  <si>
    <t>Alta</t>
  </si>
  <si>
    <t>Diária</t>
  </si>
  <si>
    <t>N1</t>
  </si>
  <si>
    <t>Usuário assistido</t>
  </si>
  <si>
    <t>Média</t>
  </si>
  <si>
    <t>Semanal</t>
  </si>
  <si>
    <t>N2</t>
  </si>
  <si>
    <t>Usuário autônomo</t>
  </si>
  <si>
    <t>Baixa</t>
  </si>
  <si>
    <t>Eventual</t>
  </si>
  <si>
    <t>N3</t>
  </si>
  <si>
    <t>Usuário crítico</t>
  </si>
  <si>
    <t>Função</t>
  </si>
  <si>
    <t>Tarefa</t>
  </si>
  <si>
    <t>Frequência</t>
  </si>
  <si>
    <t>Criticidade</t>
  </si>
  <si>
    <t>Ferramenta de IA associada</t>
  </si>
  <si>
    <t>Efeito da IA (A / P / I / N)</t>
  </si>
  <si>
    <t>Atendente de balcão</t>
  </si>
  <si>
    <t>Consultar preço e estoque</t>
  </si>
  <si>
    <t>Assistente de IA interno (catálogo)</t>
  </si>
  <si>
    <t>A</t>
  </si>
  <si>
    <t>Montar orçamento para o cliente</t>
  </si>
  <si>
    <t>P</t>
  </si>
  <si>
    <t>Negociar prazo com cliente insatisfeito</t>
  </si>
  <si>
    <t>—</t>
  </si>
  <si>
    <t>I</t>
  </si>
  <si>
    <t>Revisar o orçamento gerado pela IA</t>
  </si>
  <si>
    <t>N</t>
  </si>
  <si>
    <t>Legenda do efeito: A = automatizada · P = aprimorada · I = inalterada · N = nova</t>
  </si>
  <si>
    <t>Competência</t>
  </si>
  <si>
    <t>Eixo</t>
  </si>
  <si>
    <t>Tarefa associada (M1)</t>
  </si>
  <si>
    <t>Nível atual</t>
  </si>
  <si>
    <t>Nível-alvo</t>
  </si>
  <si>
    <t>Letramento em IA</t>
  </si>
  <si>
    <t>N0 - Não exposto</t>
  </si>
  <si>
    <t>N2 - Usuário autônomo</t>
  </si>
  <si>
    <t>Proficiência na ferramenta de orçamento</t>
  </si>
  <si>
    <t>Proficiência técnica</t>
  </si>
  <si>
    <t>N1 - Usuário assistido</t>
  </si>
  <si>
    <t>Adaptabilidade a novos fluxos de trabalho</t>
  </si>
  <si>
    <t>Adaptabilidade</t>
  </si>
  <si>
    <t>Julgamento em situação de atendimento difícil</t>
  </si>
  <si>
    <t>Relacionais e de julgamento</t>
  </si>
  <si>
    <t>N3 - Usuário crítico</t>
  </si>
  <si>
    <t>Tarefa associada</t>
  </si>
  <si>
    <t>Atual (nº)</t>
  </si>
  <si>
    <t>Alvo (nº)</t>
  </si>
  <si>
    <t>Lacuna</t>
  </si>
  <si>
    <t>Criticidade (tarefa)</t>
  </si>
  <si>
    <t>Frequência (tarefa)</t>
  </si>
  <si>
    <t>Peso crit.</t>
  </si>
  <si>
    <t>Peso freq.</t>
  </si>
  <si>
    <t>Score desempate</t>
  </si>
  <si>
    <t>Prioridade</t>
  </si>
  <si>
    <t>Prioridade = "Nenhuma" se lacuna = 0; "Alta" se lacuna ≥ 2; "Média" se lacuna = 1. O score de desempate (coluna L) ordena empates dentro da mesma prioridade, combinando lacuna, criticidade e frequência da tarefa associada, conforme o Quadro 2 do PBL4.</t>
  </si>
  <si>
    <t>Ação de desenvolvimento</t>
  </si>
  <si>
    <t>Recurso</t>
  </si>
  <si>
    <t>Custo</t>
  </si>
  <si>
    <t>3 sessões de 40 min usando a ferramenta em casos reais da loja</t>
  </si>
  <si>
    <t>Tutorial gratuito + prática assistida</t>
  </si>
  <si>
    <t>R$ 0</t>
  </si>
  <si>
    <t>Tutorial online gratuito sobre uso básico de IA no varejo</t>
  </si>
  <si>
    <t>Conteúdo do Sebrae</t>
  </si>
  <si>
    <t>Prática assistida na ferramenta de orçamento, 2x por semana, com revisão do gerente</t>
  </si>
  <si>
    <t>Prática assistida</t>
  </si>
  <si>
    <t>Manual passo a passo da ferramenta, com capturas de tela</t>
  </si>
  <si>
    <t>Material interno</t>
  </si>
  <si>
    <t>Rodízio de funções por uma semana</t>
  </si>
  <si>
    <t>Rodízio: 1 dia por semana no atendimento de reclamação junto com o gerente</t>
  </si>
  <si>
    <t>Aprendizagem entre pares</t>
  </si>
  <si>
    <t>Simulação de atendimento difícil (role-play) com o gerente</t>
  </si>
  <si>
    <t>Geral</t>
  </si>
  <si>
    <t>Conteúdo gratuito do Sebrae sobre gestão de pessoas e adoção de IA</t>
  </si>
  <si>
    <t>Competência (lacuna priorizada)</t>
  </si>
  <si>
    <t>Responsável</t>
  </si>
  <si>
    <t>Prazo (dias)</t>
  </si>
  <si>
    <t>Critério de conclusão</t>
  </si>
  <si>
    <t>Gerente</t>
  </si>
  <si>
    <t>O atendente monta um orçamento com a IA sem apoio do gerente.</t>
  </si>
  <si>
    <t>O atendente monta o orçamento completo sozinho, sem erro de preço.</t>
  </si>
  <si>
    <t>O atendente resolve uma reclamação de cliente sozinho.</t>
  </si>
  <si>
    <t>A competência "Adaptabilidade a novos fluxos de trabalho" não aparece aqui: sua lacuna é 0 (Prioridade "Nenhuma" na aba M3), portanto não exige ação nesta rodada.</t>
  </si>
  <si>
    <t>#</t>
  </si>
  <si>
    <t>Âncora (Job Characteristics Model)</t>
  </si>
  <si>
    <t>O que ela verifica</t>
  </si>
  <si>
    <t>Resposta</t>
  </si>
  <si>
    <t>Observação</t>
  </si>
  <si>
    <t>Ajuste registrado</t>
  </si>
  <si>
    <t>Variedade de habilidades</t>
  </si>
  <si>
    <t>A função continua exigindo mais de um tipo de habilidade, ou virou só clicar em botão?</t>
  </si>
  <si>
    <t>Sim</t>
  </si>
  <si>
    <t>O atendente ainda consulta, negocia e monta orçamento — a IA assumiu só uma parte.</t>
  </si>
  <si>
    <t>Identidade da tarefa</t>
  </si>
  <si>
    <t>O atendente ainda entrega um resultado completo e reconhecível, não só um pedaço dele?</t>
  </si>
  <si>
    <t>Ele continua fechando o atendimento do início ao fim.</t>
  </si>
  <si>
    <t>Significado da tarefa</t>
  </si>
  <si>
    <t>O atendente entende por que o que ele faz importa para o cliente e para a loja?</t>
  </si>
  <si>
    <t>Não</t>
  </si>
  <si>
    <t>Ele revisa o orçamento da IA por instrução do gerente, mas não sabe por que essa checagem existe.</t>
  </si>
  <si>
    <t>Incluir, na sessão de letramento em IA, uma explicação do motivo da checagem: evitar erro de preço que gera prejuízo à loja.</t>
  </si>
  <si>
    <t>Autonomia</t>
  </si>
  <si>
    <t>O atendente ainda decide como fazer, ou só executa uma ordem?</t>
  </si>
  <si>
    <t>Ele decide como conduzir a negociação e como revisar o orçamento.</t>
  </si>
  <si>
    <t>Retorno (feedback)</t>
  </si>
  <si>
    <t>O atendente sabe se fez certo? Recebe algum retorno sobre o resultado do seu trabalho?</t>
  </si>
  <si>
    <t>O gerente confere o orçamento fechado e comenta o resultado.</t>
  </si>
  <si>
    <t>Diretriz de uso crítico</t>
  </si>
  <si>
    <t>Existe orientação clara de quando NÃO usar a IA, ou de quando checar manualmente?</t>
  </si>
  <si>
    <t>O guia de aplicação instrui checar manualmente sempre que o valor do orçamento ultrapassar R$ 2.000.</t>
  </si>
  <si>
    <t>Toda resposta diferente de "Sim" exige o preenchimento de "Ajuste registrado" antes de encerrar o ciclo de aplicação (Passo 6 do PBL4).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</si>
</sst>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4"/>
      <color rgb="FF1A1A1A"/>
      <name val="Calibri"/>
      <charset val="1"/>
    </font>
    <font>
      <i/>
      <sz val="10"/>
      <color rgb="FF555555"/>
      <name val="Calibri"/>
      <charset val="1"/>
    </font>
    <font>
      <b/>
      <sz val="11"/>
      <color rgb="FF1A1A1A"/>
      <name val="Calibri"/>
      <charset val="1"/>
    </font>
    <font>
      <b/>
      <sz val="10"/>
      <color rgb="FF1A1A1A"/>
      <name val="Calibri"/>
      <charset val="1"/>
    </font>
    <font>
      <sz val="10"/>
      <color rgb="FF1A1A1A"/>
      <name val="Calibri"/>
      <charset val="1"/>
    </font>
    <font>
      <i/>
      <sz val="9"/>
      <color rgb="FF555555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9D9D9"/>
        <bgColor rgb="FFC6E0B4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5"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"/>
  <sheetViews>
    <sheetView showGridLines="0" tabSelected="1" topLeftCell="A2" zoomScaleNormal="100" workbookViewId="0">
      <selection activeCell="H15" sqref="H15"/>
    </sheetView>
  </sheetViews>
  <sheetFormatPr defaultColWidth="8.7109375" defaultRowHeight="15"/>
  <cols>
    <col min="1" max="3" width="46" customWidth="1"/>
  </cols>
  <sheetData>
    <row r="1" spans="1:3" ht="17.45">
      <c r="A1" s="16" t="s">
        <v>0</v>
      </c>
      <c r="B1" s="16"/>
      <c r="C1" s="16"/>
    </row>
    <row r="2" spans="1:3">
      <c r="A2" s="17" t="s">
        <v>1</v>
      </c>
      <c r="B2" s="17"/>
      <c r="C2" s="17"/>
    </row>
    <row r="4" spans="1:3">
      <c r="A4" s="3" t="s">
        <v>2</v>
      </c>
    </row>
    <row r="5" spans="1:3" ht="33.75" customHeight="1">
      <c r="A5" s="4"/>
      <c r="B5" s="2" t="s">
        <v>3</v>
      </c>
      <c r="C5" s="2"/>
    </row>
    <row r="6" spans="1:3" ht="33.75" customHeight="1">
      <c r="A6" s="4"/>
      <c r="B6" s="2" t="s">
        <v>4</v>
      </c>
      <c r="C6" s="2"/>
    </row>
    <row r="7" spans="1:3">
      <c r="A7" s="3" t="s">
        <v>5</v>
      </c>
    </row>
    <row r="8" spans="1:3" ht="33.75" customHeight="1">
      <c r="A8" s="4" t="s">
        <v>6</v>
      </c>
      <c r="B8" s="2" t="s">
        <v>7</v>
      </c>
      <c r="C8" s="2"/>
    </row>
    <row r="9" spans="1:3" ht="33.75" customHeight="1">
      <c r="A9" s="4" t="s">
        <v>8</v>
      </c>
      <c r="B9" s="2" t="s">
        <v>9</v>
      </c>
      <c r="C9" s="2"/>
    </row>
    <row r="10" spans="1:3" ht="33.75" customHeight="1">
      <c r="A10" s="4" t="s">
        <v>10</v>
      </c>
      <c r="B10" s="2" t="s">
        <v>11</v>
      </c>
      <c r="C10" s="2"/>
    </row>
    <row r="11" spans="1:3" ht="33.75" customHeight="1">
      <c r="A11" s="4" t="s">
        <v>12</v>
      </c>
      <c r="B11" s="2" t="s">
        <v>13</v>
      </c>
      <c r="C11" s="2"/>
    </row>
    <row r="12" spans="1:3" ht="33.75" customHeight="1">
      <c r="A12" s="4" t="s">
        <v>14</v>
      </c>
      <c r="B12" s="2" t="s">
        <v>15</v>
      </c>
      <c r="C12" s="2"/>
    </row>
    <row r="13" spans="1:3" ht="33.75" customHeight="1">
      <c r="A13" s="4" t="s">
        <v>16</v>
      </c>
      <c r="B13" s="2" t="s">
        <v>17</v>
      </c>
      <c r="C13" s="2"/>
    </row>
    <row r="14" spans="1:3">
      <c r="A14" s="3" t="s">
        <v>18</v>
      </c>
    </row>
    <row r="15" spans="1:3" ht="33.75" customHeight="1">
      <c r="A15" s="4" t="s">
        <v>19</v>
      </c>
      <c r="B15" s="2" t="s">
        <v>20</v>
      </c>
      <c r="C15" s="2"/>
    </row>
    <row r="16" spans="1:3" ht="33.75" customHeight="1">
      <c r="A16" s="4" t="s">
        <v>21</v>
      </c>
      <c r="B16" s="2" t="s">
        <v>22</v>
      </c>
      <c r="C16" s="2"/>
    </row>
    <row r="17" spans="1:3" ht="33.75" customHeight="1">
      <c r="A17" s="4" t="s">
        <v>23</v>
      </c>
      <c r="B17" s="2" t="s">
        <v>24</v>
      </c>
      <c r="C17" s="2"/>
    </row>
    <row r="18" spans="1:3" ht="33.75" customHeight="1">
      <c r="A18" s="4" t="s">
        <v>25</v>
      </c>
      <c r="B18" s="2" t="s">
        <v>26</v>
      </c>
      <c r="C18" s="2"/>
    </row>
  </sheetData>
  <mergeCells count="14"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A1:C1"/>
    <mergeCell ref="A2:C2"/>
    <mergeCell ref="B5:C5"/>
    <mergeCell ref="B6:C6"/>
    <mergeCell ref="B8:C8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22" customWidth="1"/>
    <col min="3" max="3" width="10" customWidth="1"/>
    <col min="4" max="4" width="26" customWidth="1"/>
    <col min="5" max="5" width="12" customWidth="1"/>
    <col min="6" max="6" width="8" customWidth="1"/>
    <col min="7" max="7" width="3" customWidth="1"/>
    <col min="8" max="8" width="12" customWidth="1"/>
    <col min="9" max="9" width="8" customWidth="1"/>
  </cols>
  <sheetData>
    <row r="1" spans="1:9" ht="15" customHeight="1">
      <c r="A1" s="1" t="s">
        <v>27</v>
      </c>
      <c r="B1" s="1"/>
      <c r="C1" s="1"/>
      <c r="E1" s="1" t="s">
        <v>28</v>
      </c>
      <c r="F1" s="1"/>
      <c r="H1" s="1" t="s">
        <v>29</v>
      </c>
      <c r="I1" s="1"/>
    </row>
    <row r="2" spans="1:9" ht="23.8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H2" s="6" t="s">
        <v>34</v>
      </c>
      <c r="I2" s="6" t="s">
        <v>35</v>
      </c>
    </row>
    <row r="3" spans="1:9">
      <c r="A3" s="7" t="s">
        <v>36</v>
      </c>
      <c r="B3" s="7" t="s">
        <v>37</v>
      </c>
      <c r="C3" s="8">
        <v>0</v>
      </c>
      <c r="D3" s="7" t="str">
        <f>A3&amp;" - "&amp;B3</f>
        <v>N0 - Não exposto</v>
      </c>
      <c r="E3" s="7" t="s">
        <v>38</v>
      </c>
      <c r="F3" s="8">
        <v>3</v>
      </c>
      <c r="H3" s="7" t="s">
        <v>39</v>
      </c>
      <c r="I3" s="8">
        <v>3</v>
      </c>
    </row>
    <row r="4" spans="1:9">
      <c r="A4" s="7" t="s">
        <v>40</v>
      </c>
      <c r="B4" s="7" t="s">
        <v>41</v>
      </c>
      <c r="C4" s="8">
        <v>1</v>
      </c>
      <c r="D4" s="7" t="str">
        <f>A4&amp;" - "&amp;B4</f>
        <v>N1 - Usuário assistido</v>
      </c>
      <c r="E4" s="7" t="s">
        <v>42</v>
      </c>
      <c r="F4" s="8">
        <v>2</v>
      </c>
      <c r="H4" s="7" t="s">
        <v>43</v>
      </c>
      <c r="I4" s="8">
        <v>2</v>
      </c>
    </row>
    <row r="5" spans="1:9">
      <c r="A5" s="7" t="s">
        <v>44</v>
      </c>
      <c r="B5" s="7" t="s">
        <v>45</v>
      </c>
      <c r="C5" s="8">
        <v>2</v>
      </c>
      <c r="D5" s="7" t="str">
        <f>A5&amp;" - "&amp;B5</f>
        <v>N2 - Usuário autônomo</v>
      </c>
      <c r="E5" s="7" t="s">
        <v>46</v>
      </c>
      <c r="F5" s="8">
        <v>1</v>
      </c>
      <c r="H5" s="7" t="s">
        <v>47</v>
      </c>
      <c r="I5" s="8">
        <v>1</v>
      </c>
    </row>
    <row r="6" spans="1:9">
      <c r="A6" s="7" t="s">
        <v>48</v>
      </c>
      <c r="B6" s="7" t="s">
        <v>49</v>
      </c>
      <c r="C6" s="8">
        <v>3</v>
      </c>
      <c r="D6" s="7" t="str">
        <f>A6&amp;" - "&amp;B6</f>
        <v>N3 - Usuário crítico</v>
      </c>
    </row>
  </sheetData>
  <mergeCells count="3">
    <mergeCell ref="A1:C1"/>
    <mergeCell ref="E1:F1"/>
    <mergeCell ref="H1:I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2" width="34" customWidth="1"/>
    <col min="3" max="4" width="13" customWidth="1"/>
    <col min="5" max="5" width="26" customWidth="1"/>
    <col min="6" max="6" width="30" customWidth="1"/>
  </cols>
  <sheetData>
    <row r="1" spans="1:6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</row>
    <row r="2" spans="1:6" ht="30" customHeight="1">
      <c r="A2" s="9" t="s">
        <v>56</v>
      </c>
      <c r="B2" s="9" t="s">
        <v>57</v>
      </c>
      <c r="C2" s="10" t="s">
        <v>39</v>
      </c>
      <c r="D2" s="10" t="s">
        <v>42</v>
      </c>
      <c r="E2" s="9" t="s">
        <v>58</v>
      </c>
      <c r="F2" s="10" t="s">
        <v>59</v>
      </c>
    </row>
    <row r="3" spans="1:6" ht="30" customHeight="1">
      <c r="A3" s="9" t="s">
        <v>56</v>
      </c>
      <c r="B3" s="9" t="s">
        <v>60</v>
      </c>
      <c r="C3" s="10" t="s">
        <v>39</v>
      </c>
      <c r="D3" s="10" t="s">
        <v>38</v>
      </c>
      <c r="E3" s="9" t="s">
        <v>58</v>
      </c>
      <c r="F3" s="10" t="s">
        <v>61</v>
      </c>
    </row>
    <row r="4" spans="1:6" ht="30" customHeight="1">
      <c r="A4" s="9" t="s">
        <v>56</v>
      </c>
      <c r="B4" s="9" t="s">
        <v>62</v>
      </c>
      <c r="C4" s="10" t="s">
        <v>43</v>
      </c>
      <c r="D4" s="10" t="s">
        <v>38</v>
      </c>
      <c r="E4" s="9" t="s">
        <v>63</v>
      </c>
      <c r="F4" s="10" t="s">
        <v>64</v>
      </c>
    </row>
    <row r="5" spans="1:6" ht="30" customHeight="1">
      <c r="A5" s="9" t="s">
        <v>56</v>
      </c>
      <c r="B5" s="9" t="s">
        <v>65</v>
      </c>
      <c r="C5" s="10" t="s">
        <v>39</v>
      </c>
      <c r="D5" s="10" t="s">
        <v>38</v>
      </c>
      <c r="E5" s="9" t="s">
        <v>58</v>
      </c>
      <c r="F5" s="10" t="s">
        <v>66</v>
      </c>
    </row>
    <row r="7" spans="1:6">
      <c r="A7" s="18" t="s">
        <v>67</v>
      </c>
      <c r="B7" s="18"/>
      <c r="C7" s="18"/>
      <c r="D7" s="18"/>
      <c r="E7" s="18"/>
      <c r="F7" s="18"/>
    </row>
  </sheetData>
  <mergeCells count="1">
    <mergeCell ref="A7:F7"/>
  </mergeCells>
  <dataValidations count="3">
    <dataValidation type="list" sqref="C2:C20" xr:uid="{00000000-0002-0000-0200-000000000000}">
      <formula1>"Diária,Semanal,Eventual"</formula1>
      <formula2>0</formula2>
    </dataValidation>
    <dataValidation type="list" sqref="D2:D20" xr:uid="{00000000-0002-0000-0200-000001000000}">
      <formula1>"Alta,Média,Baixa"</formula1>
      <formula2>0</formula2>
    </dataValidation>
    <dataValidation type="list" sqref="F2:F20" xr:uid="{00000000-0002-0000-0200-000002000000}">
      <formula1>"A,P,I,N"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2" width="30" customWidth="1"/>
    <col min="3" max="3" width="24" customWidth="1"/>
    <col min="4" max="4" width="32" customWidth="1"/>
    <col min="5" max="6" width="24" customWidth="1"/>
  </cols>
  <sheetData>
    <row r="1" spans="1:6">
      <c r="A1" s="5" t="s">
        <v>50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</row>
    <row r="2" spans="1:6" ht="30" customHeight="1">
      <c r="A2" s="9" t="s">
        <v>56</v>
      </c>
      <c r="B2" s="9" t="s">
        <v>73</v>
      </c>
      <c r="C2" s="9" t="s">
        <v>73</v>
      </c>
      <c r="D2" s="9" t="s">
        <v>65</v>
      </c>
      <c r="E2" s="9" t="s">
        <v>74</v>
      </c>
      <c r="F2" s="9" t="s">
        <v>75</v>
      </c>
    </row>
    <row r="3" spans="1:6" ht="30" customHeight="1">
      <c r="A3" s="9" t="s">
        <v>56</v>
      </c>
      <c r="B3" s="9" t="s">
        <v>76</v>
      </c>
      <c r="C3" s="9" t="s">
        <v>77</v>
      </c>
      <c r="D3" s="9" t="s">
        <v>60</v>
      </c>
      <c r="E3" s="9" t="s">
        <v>78</v>
      </c>
      <c r="F3" s="9" t="s">
        <v>75</v>
      </c>
    </row>
    <row r="4" spans="1:6" ht="30" customHeight="1">
      <c r="A4" s="9" t="s">
        <v>56</v>
      </c>
      <c r="B4" s="9" t="s">
        <v>79</v>
      </c>
      <c r="C4" s="9" t="s">
        <v>80</v>
      </c>
      <c r="D4" s="9" t="s">
        <v>57</v>
      </c>
      <c r="E4" s="9" t="s">
        <v>75</v>
      </c>
      <c r="F4" s="9" t="s">
        <v>75</v>
      </c>
    </row>
    <row r="5" spans="1:6" ht="30" customHeight="1">
      <c r="A5" s="9" t="s">
        <v>56</v>
      </c>
      <c r="B5" s="9" t="s">
        <v>81</v>
      </c>
      <c r="C5" s="9" t="s">
        <v>82</v>
      </c>
      <c r="D5" s="9" t="s">
        <v>62</v>
      </c>
      <c r="E5" s="9" t="s">
        <v>75</v>
      </c>
      <c r="F5" s="9" t="s">
        <v>83</v>
      </c>
    </row>
  </sheetData>
  <dataValidations count="1">
    <dataValidation type="list" sqref="C2:C20" xr:uid="{00000000-0002-0000-0300-000000000000}">
      <formula1>"Letramento em IA,Proficiência técnica,Adaptabilidade,Relacionais e de julgamento"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1000000}">
          <x14:formula1>
            <xm:f>'M1 - Diagnóstico'!$B$2:$B$5</xm:f>
          </x14:formula1>
          <x14:formula2>
            <xm:f>0</xm:f>
          </x14:formula2>
          <xm:sqref>D2:D20</xm:sqref>
        </x14:dataValidation>
        <x14:dataValidation type="list" xr:uid="{00000000-0002-0000-0300-000002000000}">
          <x14:formula1>
            <xm:f>Legenda!$D$3:$D$6</xm:f>
          </x14:formula1>
          <x14:formula2>
            <xm:f>0</xm:f>
          </x14:formula2>
          <xm:sqref>E2:F20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30" customWidth="1"/>
    <col min="2" max="2" width="32" customWidth="1"/>
    <col min="3" max="4" width="18" customWidth="1"/>
    <col min="5" max="6" width="10" customWidth="1"/>
    <col min="7" max="7" width="9" customWidth="1"/>
    <col min="8" max="9" width="13" customWidth="1"/>
    <col min="10" max="11" width="9" customWidth="1"/>
    <col min="12" max="12" width="12" customWidth="1"/>
    <col min="13" max="13" width="11" customWidth="1"/>
  </cols>
  <sheetData>
    <row r="1" spans="1:13" ht="23.85">
      <c r="A1" s="5" t="s">
        <v>68</v>
      </c>
      <c r="B1" s="5" t="s">
        <v>84</v>
      </c>
      <c r="C1" s="5" t="s">
        <v>71</v>
      </c>
      <c r="D1" s="5" t="s">
        <v>72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</row>
    <row r="2" spans="1:13" ht="30" customHeight="1">
      <c r="A2" s="11" t="str">
        <f>'M2 - Competências'!B2</f>
        <v>Letramento em IA</v>
      </c>
      <c r="B2" s="11" t="str">
        <f>'M2 - Competências'!D2</f>
        <v>Revisar o orçamento gerado pela IA</v>
      </c>
      <c r="C2" s="11" t="str">
        <f>'M2 - Competências'!E2</f>
        <v>N0 - Não exposto</v>
      </c>
      <c r="D2" s="11" t="str">
        <f>'M2 - Competências'!F2</f>
        <v>N2 - Usuário autônomo</v>
      </c>
      <c r="E2" s="12">
        <f>INDEX(Legenda!$C$3:$C$6,MATCH(LEFT(C2,2),Legenda!$A$3:$A$6,0))</f>
        <v>0</v>
      </c>
      <c r="F2" s="12">
        <f>INDEX(Legenda!$C$3:$C$6,MATCH(LEFT(D2,2),Legenda!$A$3:$A$6,0))</f>
        <v>2</v>
      </c>
      <c r="G2" s="13">
        <f>F2-E2</f>
        <v>2</v>
      </c>
      <c r="H2" s="12" t="str">
        <f>INDEX('M1 - Diagnóstico'!$D$2:$D$5,MATCH(B2,'M1 - Diagnóstico'!$B$2:$B$5,0))</f>
        <v>Alta</v>
      </c>
      <c r="I2" s="12" t="str">
        <f>INDEX('M1 - Diagnóstico'!$C$2:$C$5,MATCH(B2,'M1 - Diagnóstico'!$B$2:$B$5,0))</f>
        <v>Diária</v>
      </c>
      <c r="J2" s="12">
        <f>INDEX(Legenda!$F$3:$F$5,MATCH(H2,Legenda!$E$3:$E$5,0))</f>
        <v>3</v>
      </c>
      <c r="K2" s="12">
        <f>INDEX(Legenda!$I$3:$I$5,MATCH(I2,Legenda!$H$3:$H$5,0))</f>
        <v>3</v>
      </c>
      <c r="L2" s="12">
        <f>G2*10+J2+K2</f>
        <v>26</v>
      </c>
      <c r="M2" s="13" t="str">
        <f>IF(G2=0,"Nenhuma",IF(G2&gt;=2,"Alta","Média"))</f>
        <v>Alta</v>
      </c>
    </row>
    <row r="3" spans="1:13" ht="30" customHeight="1">
      <c r="A3" s="11" t="str">
        <f>'M2 - Competências'!B3</f>
        <v>Proficiência na ferramenta de orçamento</v>
      </c>
      <c r="B3" s="11" t="str">
        <f>'M2 - Competências'!D3</f>
        <v>Montar orçamento para o cliente</v>
      </c>
      <c r="C3" s="11" t="str">
        <f>'M2 - Competências'!E3</f>
        <v>N1 - Usuário assistido</v>
      </c>
      <c r="D3" s="11" t="str">
        <f>'M2 - Competências'!F3</f>
        <v>N2 - Usuário autônomo</v>
      </c>
      <c r="E3" s="12">
        <f>INDEX(Legenda!$C$3:$C$6,MATCH(LEFT(C3,2),Legenda!$A$3:$A$6,0))</f>
        <v>1</v>
      </c>
      <c r="F3" s="12">
        <f>INDEX(Legenda!$C$3:$C$6,MATCH(LEFT(D3,2),Legenda!$A$3:$A$6,0))</f>
        <v>2</v>
      </c>
      <c r="G3" s="13">
        <f>F3-E3</f>
        <v>1</v>
      </c>
      <c r="H3" s="12" t="str">
        <f>INDEX('M1 - Diagnóstico'!$D$2:$D$5,MATCH(B3,'M1 - Diagnóstico'!$B$2:$B$5,0))</f>
        <v>Alta</v>
      </c>
      <c r="I3" s="12" t="str">
        <f>INDEX('M1 - Diagnóstico'!$C$2:$C$5,MATCH(B3,'M1 - Diagnóstico'!$B$2:$B$5,0))</f>
        <v>Diária</v>
      </c>
      <c r="J3" s="12">
        <f>INDEX(Legenda!$F$3:$F$5,MATCH(H3,Legenda!$E$3:$E$5,0))</f>
        <v>3</v>
      </c>
      <c r="K3" s="12">
        <f>INDEX(Legenda!$I$3:$I$5,MATCH(I3,Legenda!$H$3:$H$5,0))</f>
        <v>3</v>
      </c>
      <c r="L3" s="12">
        <f>G3*10+J3+K3</f>
        <v>16</v>
      </c>
      <c r="M3" s="13" t="str">
        <f>IF(G3=0,"Nenhuma",IF(G3&gt;=2,"Alta","Média"))</f>
        <v>Média</v>
      </c>
    </row>
    <row r="4" spans="1:13" ht="30" customHeight="1">
      <c r="A4" s="11" t="str">
        <f>'M2 - Competências'!B4</f>
        <v>Adaptabilidade a novos fluxos de trabalho</v>
      </c>
      <c r="B4" s="11" t="str">
        <f>'M2 - Competências'!D4</f>
        <v>Consultar preço e estoque</v>
      </c>
      <c r="C4" s="11" t="str">
        <f>'M2 - Competências'!E4</f>
        <v>N2 - Usuário autônomo</v>
      </c>
      <c r="D4" s="11" t="str">
        <f>'M2 - Competências'!F4</f>
        <v>N2 - Usuário autônomo</v>
      </c>
      <c r="E4" s="12">
        <f>INDEX(Legenda!$C$3:$C$6,MATCH(LEFT(C4,2),Legenda!$A$3:$A$6,0))</f>
        <v>2</v>
      </c>
      <c r="F4" s="12">
        <f>INDEX(Legenda!$C$3:$C$6,MATCH(LEFT(D4,2),Legenda!$A$3:$A$6,0))</f>
        <v>2</v>
      </c>
      <c r="G4" s="13">
        <f>F4-E4</f>
        <v>0</v>
      </c>
      <c r="H4" s="12" t="str">
        <f>INDEX('M1 - Diagnóstico'!$D$2:$D$5,MATCH(B4,'M1 - Diagnóstico'!$B$2:$B$5,0))</f>
        <v>Média</v>
      </c>
      <c r="I4" s="12" t="str">
        <f>INDEX('M1 - Diagnóstico'!$C$2:$C$5,MATCH(B4,'M1 - Diagnóstico'!$B$2:$B$5,0))</f>
        <v>Diária</v>
      </c>
      <c r="J4" s="12">
        <f>INDEX(Legenda!$F$3:$F$5,MATCH(H4,Legenda!$E$3:$E$5,0))</f>
        <v>2</v>
      </c>
      <c r="K4" s="12">
        <f>INDEX(Legenda!$I$3:$I$5,MATCH(I4,Legenda!$H$3:$H$5,0))</f>
        <v>3</v>
      </c>
      <c r="L4" s="12">
        <f>G4*10+J4+K4</f>
        <v>5</v>
      </c>
      <c r="M4" s="13" t="str">
        <f>IF(G4=0,"Nenhuma",IF(G4&gt;=2,"Alta","Média"))</f>
        <v>Nenhuma</v>
      </c>
    </row>
    <row r="5" spans="1:13" ht="30" customHeight="1">
      <c r="A5" s="11" t="str">
        <f>'M2 - Competências'!B5</f>
        <v>Julgamento em situação de atendimento difícil</v>
      </c>
      <c r="B5" s="11" t="str">
        <f>'M2 - Competências'!D5</f>
        <v>Negociar prazo com cliente insatisfeito</v>
      </c>
      <c r="C5" s="11" t="str">
        <f>'M2 - Competências'!E5</f>
        <v>N2 - Usuário autônomo</v>
      </c>
      <c r="D5" s="11" t="str">
        <f>'M2 - Competências'!F5</f>
        <v>N3 - Usuário crítico</v>
      </c>
      <c r="E5" s="12">
        <f>INDEX(Legenda!$C$3:$C$6,MATCH(LEFT(C5,2),Legenda!$A$3:$A$6,0))</f>
        <v>2</v>
      </c>
      <c r="F5" s="12">
        <f>INDEX(Legenda!$C$3:$C$6,MATCH(LEFT(D5,2),Legenda!$A$3:$A$6,0))</f>
        <v>3</v>
      </c>
      <c r="G5" s="13">
        <f>F5-E5</f>
        <v>1</v>
      </c>
      <c r="H5" s="12" t="str">
        <f>INDEX('M1 - Diagnóstico'!$D$2:$D$5,MATCH(B5,'M1 - Diagnóstico'!$B$2:$B$5,0))</f>
        <v>Alta</v>
      </c>
      <c r="I5" s="12" t="str">
        <f>INDEX('M1 - Diagnóstico'!$C$2:$C$5,MATCH(B5,'M1 - Diagnóstico'!$B$2:$B$5,0))</f>
        <v>Semanal</v>
      </c>
      <c r="J5" s="12">
        <f>INDEX(Legenda!$F$3:$F$5,MATCH(H5,Legenda!$E$3:$E$5,0))</f>
        <v>3</v>
      </c>
      <c r="K5" s="12">
        <f>INDEX(Legenda!$I$3:$I$5,MATCH(I5,Legenda!$H$3:$H$5,0))</f>
        <v>2</v>
      </c>
      <c r="L5" s="12">
        <f>G5*10+J5+K5</f>
        <v>15</v>
      </c>
      <c r="M5" s="13" t="str">
        <f>IF(G5=0,"Nenhuma",IF(G5&gt;=2,"Alta","Média"))</f>
        <v>Média</v>
      </c>
    </row>
    <row r="7" spans="1:13" ht="27.75" customHeight="1">
      <c r="A7" s="18" t="s">
        <v>94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</sheetData>
  <mergeCells count="1">
    <mergeCell ref="A7:M7"/>
  </mergeCells>
  <conditionalFormatting sqref="M2:M5">
    <cfRule type="cellIs" dxfId="4" priority="2" operator="equal">
      <formula>"Alta"</formula>
    </cfRule>
    <cfRule type="cellIs" dxfId="3" priority="3" operator="equal">
      <formula>"Média"</formula>
    </cfRule>
    <cfRule type="cellIs" dxfId="2" priority="4" operator="equal">
      <formula>"Nenhuma"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4" customWidth="1"/>
    <col min="2" max="2" width="46" customWidth="1"/>
    <col min="3" max="3" width="24" customWidth="1"/>
    <col min="4" max="4" width="10" customWidth="1"/>
  </cols>
  <sheetData>
    <row r="1" spans="1:4">
      <c r="A1" s="5" t="s">
        <v>69</v>
      </c>
      <c r="B1" s="5" t="s">
        <v>95</v>
      </c>
      <c r="C1" s="5" t="s">
        <v>96</v>
      </c>
      <c r="D1" s="5" t="s">
        <v>97</v>
      </c>
    </row>
    <row r="2" spans="1:4" ht="27.75" customHeight="1">
      <c r="A2" s="7" t="s">
        <v>73</v>
      </c>
      <c r="B2" s="7" t="s">
        <v>98</v>
      </c>
      <c r="C2" s="7" t="s">
        <v>99</v>
      </c>
      <c r="D2" s="8" t="s">
        <v>100</v>
      </c>
    </row>
    <row r="3" spans="1:4" ht="27.75" customHeight="1">
      <c r="A3" s="7" t="s">
        <v>73</v>
      </c>
      <c r="B3" s="7" t="s">
        <v>101</v>
      </c>
      <c r="C3" s="7" t="s">
        <v>102</v>
      </c>
      <c r="D3" s="8" t="s">
        <v>100</v>
      </c>
    </row>
    <row r="4" spans="1:4" ht="27.75" customHeight="1">
      <c r="A4" s="7" t="s">
        <v>77</v>
      </c>
      <c r="B4" s="7" t="s">
        <v>103</v>
      </c>
      <c r="C4" s="7" t="s">
        <v>104</v>
      </c>
      <c r="D4" s="8" t="s">
        <v>100</v>
      </c>
    </row>
    <row r="5" spans="1:4" ht="27.75" customHeight="1">
      <c r="A5" s="7" t="s">
        <v>77</v>
      </c>
      <c r="B5" s="7" t="s">
        <v>105</v>
      </c>
      <c r="C5" s="7" t="s">
        <v>106</v>
      </c>
      <c r="D5" s="8" t="s">
        <v>100</v>
      </c>
    </row>
    <row r="6" spans="1:4" ht="27.75" customHeight="1">
      <c r="A6" s="7" t="s">
        <v>80</v>
      </c>
      <c r="B6" s="7" t="s">
        <v>107</v>
      </c>
      <c r="C6" s="7" t="s">
        <v>104</v>
      </c>
      <c r="D6" s="8" t="s">
        <v>100</v>
      </c>
    </row>
    <row r="7" spans="1:4" ht="27.75" customHeight="1">
      <c r="A7" s="7" t="s">
        <v>82</v>
      </c>
      <c r="B7" s="7" t="s">
        <v>108</v>
      </c>
      <c r="C7" s="7" t="s">
        <v>109</v>
      </c>
      <c r="D7" s="8" t="s">
        <v>100</v>
      </c>
    </row>
    <row r="8" spans="1:4" ht="27.75" customHeight="1">
      <c r="A8" s="7" t="s">
        <v>82</v>
      </c>
      <c r="B8" s="7" t="s">
        <v>110</v>
      </c>
      <c r="C8" s="7" t="s">
        <v>109</v>
      </c>
      <c r="D8" s="8" t="s">
        <v>100</v>
      </c>
    </row>
    <row r="9" spans="1:4" ht="27.75" customHeight="1">
      <c r="A9" s="7" t="s">
        <v>111</v>
      </c>
      <c r="B9" s="7" t="s">
        <v>112</v>
      </c>
      <c r="C9" s="7" t="s">
        <v>102</v>
      </c>
      <c r="D9" s="8" t="s">
        <v>100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34" customWidth="1"/>
    <col min="2" max="2" width="12" customWidth="1"/>
    <col min="3" max="3" width="46" customWidth="1"/>
    <col min="4" max="4" width="26" customWidth="1"/>
    <col min="5" max="5" width="16" customWidth="1"/>
    <col min="6" max="6" width="10" customWidth="1"/>
    <col min="7" max="7" width="40" customWidth="1"/>
  </cols>
  <sheetData>
    <row r="1" spans="1:7">
      <c r="A1" s="5" t="s">
        <v>113</v>
      </c>
      <c r="B1" s="5" t="s">
        <v>93</v>
      </c>
      <c r="C1" s="5" t="s">
        <v>95</v>
      </c>
      <c r="D1" s="5" t="s">
        <v>96</v>
      </c>
      <c r="E1" s="5" t="s">
        <v>114</v>
      </c>
      <c r="F1" s="5" t="s">
        <v>115</v>
      </c>
      <c r="G1" s="5" t="s">
        <v>116</v>
      </c>
    </row>
    <row r="2" spans="1:7" ht="39.75" customHeight="1">
      <c r="A2" s="9" t="s">
        <v>73</v>
      </c>
      <c r="B2" s="12" t="str">
        <f>INDEX('M3 - Lacunas'!$M$2:$M$5,MATCH(A2,'M3 - Lacunas'!$A$2:$A$5,0))</f>
        <v>Alta</v>
      </c>
      <c r="C2" s="9" t="s">
        <v>98</v>
      </c>
      <c r="D2" s="11" t="str">
        <f>INDEX('Catálogo de Ações'!$C$2:$C$9,MATCH(C2,'Catálogo de Ações'!$B$2:$B$9,0))</f>
        <v>Tutorial gratuito + prática assistida</v>
      </c>
      <c r="E2" s="10" t="s">
        <v>117</v>
      </c>
      <c r="F2" s="14">
        <v>30</v>
      </c>
      <c r="G2" s="9" t="s">
        <v>118</v>
      </c>
    </row>
    <row r="3" spans="1:7" ht="39.75" customHeight="1">
      <c r="A3" s="9" t="s">
        <v>76</v>
      </c>
      <c r="B3" s="12" t="str">
        <f>INDEX('M3 - Lacunas'!$M$2:$M$5,MATCH(A3,'M3 - Lacunas'!$A$2:$A$5,0))</f>
        <v>Média</v>
      </c>
      <c r="C3" s="9" t="s">
        <v>103</v>
      </c>
      <c r="D3" s="11" t="str">
        <f>INDEX('Catálogo de Ações'!$C$2:$C$9,MATCH(C3,'Catálogo de Ações'!$B$2:$B$9,0))</f>
        <v>Prática assistida</v>
      </c>
      <c r="E3" s="10" t="s">
        <v>117</v>
      </c>
      <c r="F3" s="14">
        <v>30</v>
      </c>
      <c r="G3" s="9" t="s">
        <v>119</v>
      </c>
    </row>
    <row r="4" spans="1:7" ht="39.75" customHeight="1">
      <c r="A4" s="9" t="s">
        <v>81</v>
      </c>
      <c r="B4" s="12" t="str">
        <f>INDEX('M3 - Lacunas'!$M$2:$M$5,MATCH(A4,'M3 - Lacunas'!$A$2:$A$5,0))</f>
        <v>Média</v>
      </c>
      <c r="C4" s="9" t="s">
        <v>108</v>
      </c>
      <c r="D4" s="11" t="str">
        <f>INDEX('Catálogo de Ações'!$C$2:$C$9,MATCH(C4,'Catálogo de Ações'!$B$2:$B$9,0))</f>
        <v>Aprendizagem entre pares</v>
      </c>
      <c r="E4" s="10" t="s">
        <v>117</v>
      </c>
      <c r="F4" s="14">
        <v>60</v>
      </c>
      <c r="G4" s="9" t="s">
        <v>120</v>
      </c>
    </row>
    <row r="6" spans="1:7">
      <c r="A6" s="18" t="s">
        <v>121</v>
      </c>
      <c r="B6" s="18"/>
      <c r="C6" s="18"/>
      <c r="D6" s="18"/>
      <c r="E6" s="18"/>
      <c r="F6" s="18"/>
      <c r="G6" s="18"/>
    </row>
  </sheetData>
  <mergeCells count="1">
    <mergeCell ref="A6:G6"/>
  </mergeCells>
  <pageMargins left="0.4" right="0.4" top="0.5" bottom="0.5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'M3 - Lacunas'!$A$2:$A$5</xm:f>
          </x14:formula1>
          <x14:formula2>
            <xm:f>0</xm:f>
          </x14:formula2>
          <xm:sqref>A2:A20</xm:sqref>
        </x14:dataValidation>
        <x14:dataValidation type="list" xr:uid="{00000000-0002-0000-0600-000001000000}">
          <x14:formula1>
            <xm:f>'Catálogo de Ações'!$B$2:$B$9</xm:f>
          </x14:formula1>
          <x14:formula2>
            <xm:f>0</xm:f>
          </x14:formula2>
          <xm:sqref>C2:C20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" customWidth="1"/>
    <col min="2" max="2" width="30" customWidth="1"/>
    <col min="3" max="3" width="40" customWidth="1"/>
    <col min="4" max="4" width="12" customWidth="1"/>
    <col min="5" max="6" width="40" customWidth="1"/>
  </cols>
  <sheetData>
    <row r="1" spans="1:6">
      <c r="A1" s="5" t="s">
        <v>122</v>
      </c>
      <c r="B1" s="5" t="s">
        <v>123</v>
      </c>
      <c r="C1" s="5" t="s">
        <v>124</v>
      </c>
      <c r="D1" s="5" t="s">
        <v>125</v>
      </c>
      <c r="E1" s="5" t="s">
        <v>126</v>
      </c>
      <c r="F1" s="5" t="s">
        <v>127</v>
      </c>
    </row>
    <row r="2" spans="1:6" ht="42" customHeight="1">
      <c r="A2" s="8">
        <v>1</v>
      </c>
      <c r="B2" s="4" t="s">
        <v>128</v>
      </c>
      <c r="C2" s="7" t="s">
        <v>129</v>
      </c>
      <c r="D2" s="15" t="s">
        <v>130</v>
      </c>
      <c r="E2" s="9" t="s">
        <v>131</v>
      </c>
      <c r="F2" s="11"/>
    </row>
    <row r="3" spans="1:6" ht="42" customHeight="1">
      <c r="A3" s="8">
        <v>2</v>
      </c>
      <c r="B3" s="4" t="s">
        <v>132</v>
      </c>
      <c r="C3" s="7" t="s">
        <v>133</v>
      </c>
      <c r="D3" s="15" t="s">
        <v>130</v>
      </c>
      <c r="E3" s="9" t="s">
        <v>134</v>
      </c>
      <c r="F3" s="11"/>
    </row>
    <row r="4" spans="1:6" ht="42" customHeight="1">
      <c r="A4" s="8">
        <v>3</v>
      </c>
      <c r="B4" s="4" t="s">
        <v>135</v>
      </c>
      <c r="C4" s="7" t="s">
        <v>136</v>
      </c>
      <c r="D4" s="15" t="s">
        <v>137</v>
      </c>
      <c r="E4" s="9" t="s">
        <v>138</v>
      </c>
      <c r="F4" s="9" t="s">
        <v>139</v>
      </c>
    </row>
    <row r="5" spans="1:6" ht="42" customHeight="1">
      <c r="A5" s="8">
        <v>4</v>
      </c>
      <c r="B5" s="4" t="s">
        <v>140</v>
      </c>
      <c r="C5" s="7" t="s">
        <v>141</v>
      </c>
      <c r="D5" s="15" t="s">
        <v>130</v>
      </c>
      <c r="E5" s="9" t="s">
        <v>142</v>
      </c>
      <c r="F5" s="11"/>
    </row>
    <row r="6" spans="1:6" ht="42" customHeight="1">
      <c r="A6" s="8">
        <v>5</v>
      </c>
      <c r="B6" s="4" t="s">
        <v>143</v>
      </c>
      <c r="C6" s="7" t="s">
        <v>144</v>
      </c>
      <c r="D6" s="15" t="s">
        <v>130</v>
      </c>
      <c r="E6" s="9" t="s">
        <v>145</v>
      </c>
      <c r="F6" s="11"/>
    </row>
    <row r="7" spans="1:6" ht="42" customHeight="1">
      <c r="A7" s="8">
        <v>6</v>
      </c>
      <c r="B7" s="4" t="s">
        <v>146</v>
      </c>
      <c r="C7" s="7" t="s">
        <v>147</v>
      </c>
      <c r="D7" s="15" t="s">
        <v>130</v>
      </c>
      <c r="E7" s="9" t="s">
        <v>148</v>
      </c>
      <c r="F7" s="11"/>
    </row>
    <row r="9" spans="1:6">
      <c r="A9" s="18" t="s">
        <v>149</v>
      </c>
      <c r="B9" s="18"/>
      <c r="C9" s="18"/>
      <c r="D9" s="18"/>
      <c r="E9" s="18"/>
      <c r="F9" s="18"/>
    </row>
  </sheetData>
  <mergeCells count="1">
    <mergeCell ref="A9:F9"/>
  </mergeCells>
  <conditionalFormatting sqref="D2:D20">
    <cfRule type="cellIs" dxfId="1" priority="2" operator="equal">
      <formula>"Não"</formula>
    </cfRule>
    <cfRule type="cellIs" dxfId="0" priority="3" operator="equal">
      <formula>"Parcialmente"</formula>
    </cfRule>
  </conditionalFormatting>
  <dataValidations count="1">
    <dataValidation type="list" sqref="D2:D20" xr:uid="{00000000-0002-0000-0700-000000000000}">
      <formula1>"Sim,Não,Parcialmente"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2026-09-24T21:39:37Z</dcterms:created>
  <dcterms:modified xsi:type="dcterms:W3CDTF">2026-09-24T22:02:26Z</dcterms:modified>
  <cp:category/>
  <cp:contentStatus/>
</cp:coreProperties>
</file>